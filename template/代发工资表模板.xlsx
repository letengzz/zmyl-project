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考勤表" sheetId="1" r:id="rId1"/>
    <sheet name="工资表" sheetId="2" r:id="rId2"/>
  </sheets>
  <definedNames>
    <definedName name="_xlnm.Print_Titles" localSheetId="1">工资表!$1:$3</definedName>
    <definedName name="_xlnm.Print_Titles" localSheetId="0">考勤表!#REF!</definedName>
    <definedName name="_xlnm._FilterDatabase" localSheetId="0" hidden="1">考勤表!#REF!</definedName>
    <definedName name="_xlnm._FilterDatabase" localSheetId="1" hidden="1">工资表!$A$3:$AC$6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<sst xmlns="http://schemas.openxmlformats.org/spreadsheetml/2006/main" count="88" uniqueCount="73">
  <si>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兴润建设集团有限公司-中煤榆林煤炭深加工基地工程项目部-2026年5月打卡考勤表</t>
  </si>
  <si>
    <t>序号</t>
  </si>
  <si>
    <t>姓名
身份证号</t>
  </si>
  <si>
    <t>岗位</t>
  </si>
  <si>
    <t>考勤</t>
  </si>
  <si>
    <t>日期(单位:小时)</t>
  </si>
  <si>
    <t>工时小计</t>
  </si>
  <si>
    <t>工日合计</t>
  </si>
  <si>
    <t>本人签字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</si>
  <si>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</si>
  <si>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</si>
  <si>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</si>
  <si>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</si>
  <si>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</si>
  <si>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</si>
  <si>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</si>
  <si>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</si>
  <si>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</si>
  <si>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</si>
  <si>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</si>
  <si>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</si>
  <si>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</si>
  <si>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</si>
  <si>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</si>
  <si>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</si>
  <si>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</si>
  <si>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</si>
  <si>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</si>
  <si>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</si>
  <si>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</si>
  <si>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</si>
  <si>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</si>
  <si>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</si>
  <si>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</si>
  <si>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</si>
  <si>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</si>
  <si>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</si>
  <si>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</si>
  <si>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</si>
  <si>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</si>
  <si>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张三</t>
  </si>
  <si>
    <t>工程管理</t>
  </si>
  <si>
    <t>出勤</t>
  </si>
  <si>
    <t/>
  </si>
  <si>
    <t>130282200000000000</t>
  </si>
  <si>
    <t>备注</t>
  </si>
  <si>
    <t>1.我单位员工严格按照项目考勤管理规定进行实名刷脸考勤，以上考勤记录经我单位项目负责人认真核对、签字确认，真实有效；如发现考勤弄虚作假，愿意承担相应责任。
2.以上人员为本月我单位在本项目工作的所有人员，包括我单位为项目提供服务支持的人员，考勤统计表以外的任何人员均未在我公司本项目工作，与我公司本项目没有任何劳动或劳务关系。
                                                                         分包单位项目负责人签字：                   日期：2026年  月   日</t>
  </si>
  <si>
    <t xml:space="preserve">                                                                     项目部综合管理办公室签收人：                   日期：2026年  月   日</t>
  </si>
  <si>
    <t>2026年5月农民工工资委托支付确认表</t>
  </si>
  <si>
    <t>项目执行单位： 中石化第四建设有限公司中煤榆林工程项目部 
分包单位：（公章）兴润建设集团有限公司</t>
  </si>
  <si>
    <t xml:space="preserve">分包单位授权委托人： </t>
  </si>
  <si>
    <t>日期：</t>
  </si>
  <si>
    <t>工种</t>
  </si>
  <si>
    <t>姓名</t>
  </si>
  <si>
    <t>身份证号</t>
  </si>
  <si>
    <t>联系方式</t>
  </si>
  <si>
    <t>开户行名称</t>
  </si>
  <si>
    <t>工资银行账号</t>
  </si>
  <si>
    <t>银行行号</t>
  </si>
  <si>
    <t>用工天数</t>
  </si>
  <si>
    <t>加班加点</t>
  </si>
  <si>
    <t>每日工资(含奖金）</t>
  </si>
  <si>
    <t>税后工资金额</t>
  </si>
  <si>
    <t>领取人签字</t>
  </si>
  <si>
    <t>130000000000</t>
  </si>
  <si>
    <t>工商银行</t>
  </si>
  <si>
    <t>622000000000000</t>
  </si>
  <si>
    <t>102100000</t>
  </si>
  <si>
    <t>合计</t>
  </si>
  <si>
    <t>项目综合管理办公室：</t>
  </si>
  <si>
    <t xml:space="preserve"> 项目经营管理部：</t>
  </si>
  <si>
    <t>项目分管副经理：</t>
  </si>
  <si>
    <t>项目经理：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</si>
</sst>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38">
    <font>
      <sz val="12"/>
      <name val="宋体"/>
      <charset val="134"/>
    </font>
    <font>
      <sz val="11"/>
      <color theme="1"/>
      <name val="宋体"/>
      <charset val="134"/>
      <scheme val="minor"/>
    </font>
    <font>
      <sz val="18"/>
      <name val="宋体"/>
      <charset val="134"/>
    </font>
    <font>
      <sz val="1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.5"/>
      <name val="Consolas"/>
      <charset val="0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rgb="FF000000"/>
      <name val="宋体"/>
      <charset val="134"/>
    </font>
    <font>
      <sz val="9"/>
      <color rgb="FF000000"/>
      <name val="宋体"/>
      <charset val="134"/>
    </font>
    <font>
      <sz val="8"/>
      <color rgb="FF000000"/>
      <name val="楷体"/>
      <charset val="134"/>
    </font>
    <font>
      <sz val="8"/>
      <color rgb="FF000000"/>
      <name val="宋体"/>
      <charset val="134"/>
    </font>
    <font>
      <sz val="9"/>
      <color theme="1"/>
      <name val="宋体"/>
      <charset val="134"/>
    </font>
    <font>
      <sz val="8"/>
      <color theme="1"/>
      <name val="宋体"/>
      <charset val="134"/>
    </font>
    <font>
      <sz val="8"/>
      <color indexed="8"/>
      <name val="楷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3" borderId="2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23" applyNumberFormat="0" applyAlignment="0" applyProtection="0">
      <alignment vertical="center"/>
    </xf>
    <xf numFmtId="0" fontId="28" fillId="5" borderId="24" applyNumberFormat="0" applyAlignment="0" applyProtection="0">
      <alignment vertical="center"/>
    </xf>
    <xf numFmtId="0" fontId="29" fillId="5" borderId="23" applyNumberFormat="0" applyAlignment="0" applyProtection="0">
      <alignment vertical="center"/>
    </xf>
    <xf numFmtId="0" fontId="30" fillId="6" borderId="25" applyNumberFormat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31" fontId="6" fillId="0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76" fontId="10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77" fontId="12" fillId="0" borderId="2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/>
    <xf numFmtId="177" fontId="11" fillId="0" borderId="3" xfId="0" applyNumberFormat="1" applyFont="1" applyFill="1" applyBorder="1" applyAlignment="1"/>
    <xf numFmtId="178" fontId="11" fillId="0" borderId="3" xfId="0" applyNumberFormat="1" applyFont="1" applyFill="1" applyBorder="1" applyAlignment="1"/>
    <xf numFmtId="0" fontId="11" fillId="0" borderId="4" xfId="0" applyNumberFormat="1" applyFont="1" applyFill="1" applyBorder="1" applyAlignment="1"/>
    <xf numFmtId="0" fontId="12" fillId="0" borderId="2" xfId="0" applyNumberFormat="1" applyFont="1" applyFill="1" applyBorder="1" applyAlignment="1">
      <alignment horizontal="center" vertical="center" wrapText="1"/>
    </xf>
    <xf numFmtId="177" fontId="11" fillId="0" borderId="4" xfId="0" applyNumberFormat="1" applyFont="1" applyFill="1" applyBorder="1" applyAlignment="1"/>
    <xf numFmtId="178" fontId="12" fillId="0" borderId="2" xfId="0" applyNumberFormat="1" applyFont="1" applyFill="1" applyBorder="1" applyAlignment="1">
      <alignment horizontal="center" vertical="center" wrapText="1"/>
    </xf>
    <xf numFmtId="177" fontId="11" fillId="0" borderId="5" xfId="0" applyNumberFormat="1" applyFont="1" applyFill="1" applyBorder="1" applyAlignment="1"/>
    <xf numFmtId="0" fontId="11" fillId="0" borderId="5" xfId="0" applyNumberFormat="1" applyFont="1" applyFill="1" applyBorder="1" applyAlignment="1"/>
    <xf numFmtId="177" fontId="12" fillId="0" borderId="6" xfId="0" applyNumberFormat="1" applyFont="1" applyFill="1" applyBorder="1" applyAlignment="1">
      <alignment horizontal="center" vertical="center" wrapText="1"/>
    </xf>
    <xf numFmtId="178" fontId="12" fillId="0" borderId="6" xfId="0" applyNumberFormat="1" applyFont="1" applyFill="1" applyBorder="1" applyAlignment="1">
      <alignment horizontal="center" vertical="center" wrapText="1"/>
    </xf>
    <xf numFmtId="178" fontId="11" fillId="0" borderId="5" xfId="0" applyNumberFormat="1" applyFont="1" applyFill="1" applyBorder="1" applyAlignment="1"/>
    <xf numFmtId="177" fontId="13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4" fontId="13" fillId="0" borderId="7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0" fontId="14" fillId="0" borderId="6" xfId="0" applyNumberFormat="1" applyFont="1" applyFill="1" applyBorder="1" applyAlignment="1">
      <alignment horizontal="center" vertical="center"/>
    </xf>
    <xf numFmtId="178" fontId="13" fillId="0" borderId="6" xfId="0" applyNumberFormat="1" applyFont="1" applyFill="1" applyBorder="1" applyAlignment="1">
      <alignment horizontal="center" vertical="center" wrapText="1"/>
    </xf>
    <xf numFmtId="0" fontId="15" fillId="0" borderId="6" xfId="0" applyNumberFormat="1" applyFont="1" applyFill="1" applyBorder="1" applyAlignment="1">
      <alignment horizontal="center" vertical="center" wrapText="1"/>
    </xf>
    <xf numFmtId="4" fontId="13" fillId="0" borderId="8" xfId="0" applyNumberFormat="1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7" fontId="13" fillId="0" borderId="7" xfId="0" applyNumberFormat="1" applyFont="1" applyFill="1" applyBorder="1" applyAlignment="1">
      <alignment horizontal="center" vertical="center" wrapText="1"/>
    </xf>
    <xf numFmtId="0" fontId="14" fillId="0" borderId="7" xfId="0" applyNumberFormat="1" applyFont="1" applyFill="1" applyBorder="1" applyAlignment="1">
      <alignment horizontal="center" vertical="center"/>
    </xf>
    <xf numFmtId="178" fontId="13" fillId="0" borderId="7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Fill="1" applyBorder="1" applyAlignment="1">
      <alignment vertical="center"/>
    </xf>
    <xf numFmtId="0" fontId="11" fillId="0" borderId="9" xfId="0" applyNumberFormat="1" applyFont="1" applyFill="1" applyBorder="1" applyAlignment="1">
      <alignment horizontal="center"/>
    </xf>
    <xf numFmtId="177" fontId="18" fillId="0" borderId="1" xfId="0" applyNumberFormat="1" applyFont="1" applyFill="1" applyBorder="1" applyAlignment="1">
      <alignment horizontal="center" vertical="center"/>
    </xf>
    <xf numFmtId="178" fontId="18" fillId="0" borderId="1" xfId="0" applyNumberFormat="1" applyFont="1" applyFill="1" applyBorder="1" applyAlignment="1">
      <alignment horizontal="center" vertical="center"/>
    </xf>
    <xf numFmtId="0" fontId="11" fillId="0" borderId="10" xfId="0" applyNumberFormat="1" applyFont="1" applyFill="1" applyBorder="1" applyAlignment="1">
      <alignment horizontal="center"/>
    </xf>
    <xf numFmtId="177" fontId="13" fillId="0" borderId="11" xfId="0" applyNumberFormat="1" applyFont="1" applyFill="1" applyBorder="1" applyAlignment="1">
      <alignment horizontal="center" vertical="center" wrapText="1"/>
    </xf>
    <xf numFmtId="177" fontId="18" fillId="0" borderId="11" xfId="0" applyNumberFormat="1" applyFont="1" applyFill="1" applyBorder="1" applyAlignment="1">
      <alignment horizontal="center" vertical="center"/>
    </xf>
    <xf numFmtId="177" fontId="18" fillId="0" borderId="11" xfId="0" applyNumberFormat="1" applyFont="1" applyFill="1" applyBorder="1" applyAlignment="1">
      <alignment vertical="center"/>
    </xf>
    <xf numFmtId="0" fontId="14" fillId="0" borderId="7" xfId="0" applyNumberFormat="1" applyFont="1" applyFill="1" applyBorder="1" applyAlignment="1">
      <alignment vertical="center"/>
    </xf>
    <xf numFmtId="178" fontId="18" fillId="0" borderId="11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/>
    </xf>
    <xf numFmtId="177" fontId="12" fillId="0" borderId="2" xfId="0" applyNumberFormat="1" applyFont="1" applyFill="1" applyBorder="1" applyAlignment="1">
      <alignment horizontal="left" vertical="center" wrapText="1"/>
    </xf>
    <xf numFmtId="0" fontId="11" fillId="0" borderId="13" xfId="0" applyNumberFormat="1" applyFont="1" applyFill="1" applyBorder="1" applyAlignment="1"/>
    <xf numFmtId="177" fontId="11" fillId="0" borderId="13" xfId="0" applyNumberFormat="1" applyFont="1" applyFill="1" applyBorder="1" applyAlignment="1"/>
    <xf numFmtId="178" fontId="11" fillId="0" borderId="13" xfId="0" applyNumberFormat="1" applyFont="1" applyFill="1" applyBorder="1" applyAlignment="1"/>
    <xf numFmtId="0" fontId="11" fillId="0" borderId="14" xfId="0" applyNumberFormat="1" applyFont="1" applyFill="1" applyBorder="1" applyAlignment="1"/>
    <xf numFmtId="177" fontId="11" fillId="0" borderId="15" xfId="0" applyNumberFormat="1" applyFont="1" applyFill="1" applyBorder="1" applyAlignment="1"/>
    <xf numFmtId="177" fontId="11" fillId="0" borderId="0" xfId="0" applyNumberFormat="1" applyFont="1" applyFill="1" applyBorder="1" applyAlignment="1">
      <alignment vertical="center"/>
    </xf>
    <xf numFmtId="178" fontId="11" fillId="0" borderId="0" xfId="0" applyNumberFormat="1" applyFont="1" applyFill="1" applyBorder="1" applyAlignment="1">
      <alignment vertical="center"/>
    </xf>
    <xf numFmtId="0" fontId="11" fillId="0" borderId="16" xfId="0" applyNumberFormat="1" applyFont="1" applyFill="1" applyBorder="1" applyAlignment="1"/>
    <xf numFmtId="177" fontId="11" fillId="0" borderId="17" xfId="0" applyNumberFormat="1" applyFont="1" applyFill="1" applyBorder="1" applyAlignment="1"/>
    <xf numFmtId="0" fontId="11" fillId="0" borderId="18" xfId="0" applyNumberFormat="1" applyFont="1" applyFill="1" applyBorder="1" applyAlignment="1"/>
    <xf numFmtId="177" fontId="11" fillId="0" borderId="18" xfId="0" applyNumberFormat="1" applyFont="1" applyFill="1" applyBorder="1" applyAlignment="1"/>
    <xf numFmtId="178" fontId="11" fillId="0" borderId="18" xfId="0" applyNumberFormat="1" applyFont="1" applyFill="1" applyBorder="1" applyAlignment="1"/>
    <xf numFmtId="0" fontId="11" fillId="0" borderId="19" xfId="0" applyNumberFormat="1" applyFont="1" applyFill="1" applyBorder="1" applyAlignment="1"/>
    <xf numFmtId="0" fontId="15" fillId="0" borderId="6" xfId="0" applyNumberFormat="1" applyFont="1" applyFill="1" applyBorder="1" applyAlignment="1" quotePrefix="1">
      <alignment horizontal="center" vertical="center" wrapText="1"/>
    </xf>
    <xf numFmtId="0" fontId="7" fillId="0" borderId="1" xfId="0" applyFont="1" applyFill="1" applyBorder="1" applyAlignment="1" quotePrefix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17" xfId="49"/>
    <cellStyle name="常规 9" xfId="50"/>
    <cellStyle name="常规 2 2" xfId="51"/>
    <cellStyle name="常规 11" xfId="52"/>
    <cellStyle name="常规 13" xfId="53"/>
    <cellStyle name="常规 17" xfId="54"/>
    <cellStyle name="常规 6 10" xfId="55"/>
    <cellStyle name="常规 7" xfId="56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view="pageBreakPreview" zoomScaleNormal="100" workbookViewId="0">
      <pane ySplit="1" topLeftCell="A2" activePane="bottomLeft" state="frozen"/>
      <selection/>
      <selection pane="bottomLeft" activeCell="A4" sqref="A4:AL29"/>
    </sheetView>
  </sheetViews>
  <sheetFormatPr defaultColWidth="14.475" defaultRowHeight="15.6"/>
  <cols>
    <col min="1" max="1" width="4.05833333333333" customWidth="1"/>
    <col min="2" max="2" width="13.6" customWidth="1"/>
    <col min="3" max="3" width="5.88333333333333" customWidth="1"/>
    <col min="4" max="4" width="4.75" customWidth="1"/>
    <col min="5" max="5" width="2.60833333333333" customWidth="1"/>
    <col min="6" max="14" width="2.48333333333333" customWidth="1"/>
    <col min="15" max="15" width="3.95833333333333" customWidth="1"/>
    <col min="16" max="28" width="2.48333333333333" customWidth="1"/>
    <col min="29" max="30" width="3.39166666666667" customWidth="1"/>
    <col min="31" max="35" width="2.48333333333333" customWidth="1"/>
    <col min="36" max="36" width="4.98333333333333" customWidth="1"/>
    <col min="37" max="37" width="4.625" customWidth="1"/>
    <col min="38" max="38" width="7.425" customWidth="1"/>
    <col min="39" max="16384" width="14.4833333333333"/>
  </cols>
  <sheetData>
    <row r="1" s="28" customFormat="1" ht="14.4" spans="1:38">
      <c r="A1" s="29" t="s">
        <v>0</v>
      </c>
      <c r="B1" s="30"/>
      <c r="C1" s="30"/>
      <c r="D1" s="30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2"/>
      <c r="AD1" s="32"/>
      <c r="AE1" s="31"/>
      <c r="AF1" s="31"/>
      <c r="AG1" s="31"/>
      <c r="AH1" s="31"/>
      <c r="AI1" s="31"/>
      <c r="AJ1" s="32"/>
      <c r="AK1" s="30"/>
      <c r="AL1" s="33"/>
    </row>
    <row r="2" s="28" customFormat="1" ht="14.4" spans="1:38">
      <c r="A2" s="29" t="s">
        <v>1</v>
      </c>
      <c r="B2" s="34" t="s">
        <v>2</v>
      </c>
      <c r="C2" s="34" t="s">
        <v>3</v>
      </c>
      <c r="D2" s="34" t="s">
        <v>4</v>
      </c>
      <c r="E2" s="29" t="s">
        <v>5</v>
      </c>
      <c r="F2" s="31"/>
      <c r="G2" s="31"/>
      <c r="H2" s="31"/>
      <c r="I2" s="31"/>
      <c r="J2" s="31"/>
      <c r="K2" s="31"/>
      <c r="L2" s="31"/>
      <c r="M2" s="31"/>
      <c r="N2" s="31"/>
      <c r="O2" s="32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2"/>
      <c r="AD2" s="32"/>
      <c r="AE2" s="31"/>
      <c r="AF2" s="31"/>
      <c r="AG2" s="31"/>
      <c r="AH2" s="31"/>
      <c r="AI2" s="35"/>
      <c r="AJ2" s="36" t="s">
        <v>6</v>
      </c>
      <c r="AK2" s="34" t="s">
        <v>7</v>
      </c>
      <c r="AL2" s="34" t="s">
        <v>8</v>
      </c>
    </row>
    <row r="3" s="28" customFormat="1" ht="24" spans="1:38">
      <c r="A3" s="37"/>
      <c r="B3" s="38"/>
      <c r="C3" s="38"/>
      <c r="D3" s="38"/>
      <c r="E3" s="39" t="s">
        <v>9</v>
      </c>
      <c r="F3" s="39" t="s">
        <v>10</v>
      </c>
      <c r="G3" s="39" t="s">
        <v>11</v>
      </c>
      <c r="H3" s="39" t="s">
        <v>12</v>
      </c>
      <c r="I3" s="39" t="s">
        <v>13</v>
      </c>
      <c r="J3" s="39" t="s">
        <v>14</v>
      </c>
      <c r="K3" s="39" t="s">
        <v>15</v>
      </c>
      <c r="L3" s="39" t="s">
        <v>16</v>
      </c>
      <c r="M3" s="39" t="s">
        <v>17</v>
      </c>
      <c r="N3" s="39" t="s">
        <v>18</v>
      </c>
      <c r="O3" s="40" t="s">
        <v>19</v>
      </c>
      <c r="P3" s="39" t="s">
        <v>20</v>
      </c>
      <c r="Q3" s="39" t="s">
        <v>21</v>
      </c>
      <c r="R3" s="39" t="s">
        <v>22</v>
      </c>
      <c r="S3" s="39" t="s">
        <v>23</v>
      </c>
      <c r="T3" s="39" t="s">
        <v>24</v>
      </c>
      <c r="U3" s="39" t="s">
        <v>25</v>
      </c>
      <c r="V3" s="39" t="s">
        <v>26</v>
      </c>
      <c r="W3" s="39" t="s">
        <v>27</v>
      </c>
      <c r="X3" s="39" t="s">
        <v>28</v>
      </c>
      <c r="Y3" s="39" t="s">
        <v>29</v>
      </c>
      <c r="Z3" s="39" t="s">
        <v>30</v>
      </c>
      <c r="AA3" s="39" t="s">
        <v>31</v>
      </c>
      <c r="AB3" s="39" t="s">
        <v>32</v>
      </c>
      <c r="AC3" s="40" t="s">
        <v>33</v>
      </c>
      <c r="AD3" s="40" t="s">
        <v>34</v>
      </c>
      <c r="AE3" s="39" t="s">
        <v>35</v>
      </c>
      <c r="AF3" s="39" t="s">
        <v>36</v>
      </c>
      <c r="AG3" s="39" t="s">
        <v>37</v>
      </c>
      <c r="AH3" s="39" t="s">
        <v>38</v>
      </c>
      <c r="AI3" s="39" t="s">
        <v>39</v>
      </c>
      <c r="AJ3" s="41"/>
      <c r="AK3" s="38"/>
      <c r="AL3" s="38"/>
    </row>
    <row r="4" s="28" customFormat="1" ht="14.4" spans="1:38">
      <c r="A4" s="42">
        <v>1</v>
      </c>
      <c r="B4" s="43" t="s">
        <v>40</v>
      </c>
      <c r="C4" s="44" t="s">
        <v>41</v>
      </c>
      <c r="D4" s="45" t="s">
        <v>42</v>
      </c>
      <c r="E4" s="46">
        <v>9</v>
      </c>
      <c r="F4" s="46">
        <v>9</v>
      </c>
      <c r="G4" s="46">
        <v>9</v>
      </c>
      <c r="H4" s="46">
        <v>9</v>
      </c>
      <c r="I4" s="46">
        <v>9</v>
      </c>
      <c r="J4" s="46">
        <v>9</v>
      </c>
      <c r="K4" s="46">
        <v>9</v>
      </c>
      <c r="L4" s="46">
        <v>9</v>
      </c>
      <c r="M4" s="46">
        <v>9</v>
      </c>
      <c r="N4" s="46">
        <v>9</v>
      </c>
      <c r="O4" s="46">
        <v>9</v>
      </c>
      <c r="P4" s="46">
        <v>9</v>
      </c>
      <c r="Q4" s="46">
        <v>9</v>
      </c>
      <c r="R4" s="46">
        <v>9</v>
      </c>
      <c r="S4" s="46">
        <v>9</v>
      </c>
      <c r="T4" s="46">
        <v>9</v>
      </c>
      <c r="U4" s="46">
        <v>9</v>
      </c>
      <c r="V4" s="46">
        <v>9</v>
      </c>
      <c r="W4" s="46">
        <v>9</v>
      </c>
      <c r="X4" s="46">
        <v>9</v>
      </c>
      <c r="Y4" s="46">
        <v>9</v>
      </c>
      <c r="Z4" s="46">
        <v>9</v>
      </c>
      <c r="AA4" s="46">
        <v>9</v>
      </c>
      <c r="AB4" s="46">
        <v>9</v>
      </c>
      <c r="AC4" s="46">
        <v>9</v>
      </c>
      <c r="AD4" s="46">
        <v>9</v>
      </c>
      <c r="AE4" s="46">
        <v>9</v>
      </c>
      <c r="AF4" s="46">
        <v>9</v>
      </c>
      <c r="AG4" s="46">
        <v>9</v>
      </c>
      <c r="AH4" s="46">
        <v>9</v>
      </c>
      <c r="AI4" s="46">
        <v>4</v>
      </c>
      <c r="AJ4" s="47">
        <f>SUM(E4:AI4)</f>
        <v>274</v>
      </c>
      <c r="AK4" s="45">
        <f>ROUND((AJ4+AJ5)/9,2)</f>
        <v>38</v>
      </c>
      <c r="AL4" s="45" t="s">
        <v>43</v>
      </c>
    </row>
    <row r="5" s="28" customFormat="1" ht="14.4" spans="1:38">
      <c r="A5" s="42"/>
      <c r="B5" s="83" t="s">
        <v>44</v>
      </c>
      <c r="C5" s="49"/>
      <c r="D5" s="45" t="s">
        <v>45</v>
      </c>
      <c r="E5" s="46"/>
      <c r="F5" s="46">
        <v>2</v>
      </c>
      <c r="G5" s="46"/>
      <c r="H5" s="46">
        <v>3.5</v>
      </c>
      <c r="I5" s="46">
        <v>3.5</v>
      </c>
      <c r="J5" s="46">
        <v>2</v>
      </c>
      <c r="K5" s="46">
        <v>3.5</v>
      </c>
      <c r="L5" s="46">
        <v>3.5</v>
      </c>
      <c r="M5" s="46">
        <v>3.5</v>
      </c>
      <c r="N5" s="46"/>
      <c r="O5" s="46">
        <v>3.5</v>
      </c>
      <c r="P5" s="46">
        <v>3.5</v>
      </c>
      <c r="Q5" s="46">
        <v>3.5</v>
      </c>
      <c r="R5" s="46">
        <v>3.5</v>
      </c>
      <c r="S5" s="46">
        <v>3.5</v>
      </c>
      <c r="T5" s="46">
        <v>2</v>
      </c>
      <c r="U5" s="46"/>
      <c r="V5" s="46">
        <v>3.5</v>
      </c>
      <c r="W5" s="46">
        <v>3.5</v>
      </c>
      <c r="X5" s="46">
        <v>3.5</v>
      </c>
      <c r="Y5" s="46"/>
      <c r="Z5" s="46">
        <v>3</v>
      </c>
      <c r="AA5" s="46">
        <v>3</v>
      </c>
      <c r="AB5" s="46"/>
      <c r="AC5" s="46">
        <v>1.5</v>
      </c>
      <c r="AD5" s="46">
        <v>3</v>
      </c>
      <c r="AE5" s="46">
        <v>1.5</v>
      </c>
      <c r="AF5" s="46">
        <v>1.5</v>
      </c>
      <c r="AG5" s="46">
        <v>1.5</v>
      </c>
      <c r="AH5" s="46">
        <v>1.5</v>
      </c>
      <c r="AI5" s="46"/>
      <c r="AJ5" s="47">
        <f>SUM(E5:AI5)</f>
        <v>68</v>
      </c>
      <c r="AK5" s="45"/>
      <c r="AL5" s="45"/>
    </row>
    <row r="6" s="28" customFormat="1" ht="14.4" spans="1:38">
      <c r="A6" s="42">
        <v>2</v>
      </c>
      <c r="B6" s="43"/>
      <c r="C6" s="44"/>
      <c r="D6" s="4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7"/>
      <c r="AK6" s="45"/>
      <c r="AL6" s="45" t="s">
        <v>43</v>
      </c>
    </row>
    <row r="7" s="28" customFormat="1" ht="14.4" spans="1:38">
      <c r="A7" s="42"/>
      <c r="B7" s="48"/>
      <c r="C7" s="49"/>
      <c r="D7" s="45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7"/>
      <c r="AK7" s="45"/>
      <c r="AL7" s="45"/>
    </row>
    <row r="8" s="28" customFormat="1" ht="14.4" spans="1:38">
      <c r="A8" s="42">
        <v>3</v>
      </c>
      <c r="B8" s="43"/>
      <c r="C8" s="44"/>
      <c r="D8" s="45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7"/>
      <c r="AK8" s="45"/>
      <c r="AL8" s="45" t="s">
        <v>43</v>
      </c>
    </row>
    <row r="9" s="28" customFormat="1" ht="14.4" spans="1:38">
      <c r="A9" s="42"/>
      <c r="B9" s="48"/>
      <c r="C9" s="49"/>
      <c r="D9" s="45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7"/>
      <c r="AK9" s="45"/>
      <c r="AL9" s="45"/>
    </row>
    <row r="10" s="28" customFormat="1" ht="14.4" spans="1:38">
      <c r="A10" s="42">
        <v>4</v>
      </c>
      <c r="B10" s="43"/>
      <c r="C10" s="44"/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7"/>
      <c r="AK10" s="45"/>
      <c r="AL10" s="45" t="s">
        <v>43</v>
      </c>
    </row>
    <row r="11" s="28" customFormat="1" ht="14.4" spans="1:38">
      <c r="A11" s="42"/>
      <c r="B11" s="48"/>
      <c r="C11" s="49"/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7"/>
      <c r="AK11" s="45"/>
      <c r="AL11" s="45"/>
    </row>
    <row r="12" s="28" customFormat="1" ht="14.4" spans="1:38">
      <c r="A12" s="42">
        <v>5</v>
      </c>
      <c r="B12" s="43"/>
      <c r="C12" s="44"/>
      <c r="D12" s="45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7"/>
      <c r="AK12" s="45"/>
      <c r="AL12" s="45" t="s">
        <v>43</v>
      </c>
    </row>
    <row r="13" s="28" customFormat="1" ht="14.4" spans="1:38">
      <c r="A13" s="42"/>
      <c r="B13" s="48"/>
      <c r="C13" s="49"/>
      <c r="D13" s="45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50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7"/>
      <c r="AK13" s="45"/>
      <c r="AL13" s="45"/>
    </row>
    <row r="14" s="28" customFormat="1" ht="14.4" spans="1:38">
      <c r="A14" s="42">
        <v>6</v>
      </c>
      <c r="B14" s="43"/>
      <c r="C14" s="44"/>
      <c r="D14" s="45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7"/>
      <c r="AK14" s="45"/>
      <c r="AL14" s="45" t="s">
        <v>43</v>
      </c>
    </row>
    <row r="15" s="28" customFormat="1" ht="14.4" spans="1:38">
      <c r="A15" s="42"/>
      <c r="B15" s="48"/>
      <c r="C15" s="49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7"/>
      <c r="AK15" s="45"/>
      <c r="AL15" s="45"/>
    </row>
    <row r="16" s="28" customFormat="1" ht="14.4" spans="1:38">
      <c r="A16" s="42">
        <v>7</v>
      </c>
      <c r="B16" s="51"/>
      <c r="C16" s="44"/>
      <c r="D16" s="45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7"/>
      <c r="AK16" s="45"/>
      <c r="AL16" s="45" t="s">
        <v>43</v>
      </c>
    </row>
    <row r="17" s="28" customFormat="1" ht="14.4" spans="1:38">
      <c r="A17" s="42"/>
      <c r="B17" s="52"/>
      <c r="C17" s="49"/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/>
      <c r="AK17" s="45"/>
      <c r="AL17" s="45"/>
    </row>
    <row r="18" s="28" customFormat="1" ht="14.4" spans="1:38">
      <c r="A18" s="42">
        <v>8</v>
      </c>
      <c r="B18" s="43"/>
      <c r="C18" s="44"/>
      <c r="D18" s="45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7"/>
      <c r="AK18" s="45"/>
      <c r="AL18" s="45" t="s">
        <v>43</v>
      </c>
    </row>
    <row r="19" s="28" customFormat="1" ht="14.4" spans="1:38">
      <c r="A19" s="42"/>
      <c r="B19" s="48"/>
      <c r="C19" s="49"/>
      <c r="D19" s="45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7"/>
      <c r="AK19" s="45"/>
      <c r="AL19" s="45"/>
    </row>
    <row r="20" s="28" customFormat="1" ht="14.4" spans="1:38">
      <c r="A20" s="42">
        <v>9</v>
      </c>
      <c r="B20" s="51"/>
      <c r="C20" s="44"/>
      <c r="D20" s="45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7"/>
      <c r="AK20" s="45"/>
      <c r="AL20" s="45" t="s">
        <v>43</v>
      </c>
    </row>
    <row r="21" s="28" customFormat="1" ht="14.4" spans="1:38">
      <c r="A21" s="42"/>
      <c r="B21" s="52"/>
      <c r="C21" s="49"/>
      <c r="D21" s="45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/>
      <c r="AK21" s="45"/>
      <c r="AL21" s="45"/>
    </row>
    <row r="22" s="28" customFormat="1" ht="14.4" spans="1:38">
      <c r="A22" s="42">
        <v>10</v>
      </c>
      <c r="B22" s="51"/>
      <c r="C22" s="44"/>
      <c r="D22" s="45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7"/>
      <c r="AK22" s="45"/>
      <c r="AL22" s="45" t="s">
        <v>43</v>
      </c>
    </row>
    <row r="23" s="28" customFormat="1" ht="14.4" spans="1:38">
      <c r="A23" s="42"/>
      <c r="B23" s="52"/>
      <c r="C23" s="49"/>
      <c r="D23" s="45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7"/>
      <c r="AK23" s="45"/>
      <c r="AL23" s="45"/>
    </row>
    <row r="24" s="28" customFormat="1" ht="14.4" spans="1:38">
      <c r="A24" s="42">
        <v>11</v>
      </c>
      <c r="B24" s="51"/>
      <c r="C24" s="44"/>
      <c r="D24" s="45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53"/>
      <c r="AC24" s="46"/>
      <c r="AD24" s="46"/>
      <c r="AE24" s="46"/>
      <c r="AF24" s="46"/>
      <c r="AG24" s="46"/>
      <c r="AH24" s="46"/>
      <c r="AI24" s="46"/>
      <c r="AJ24" s="47"/>
      <c r="AK24" s="45"/>
      <c r="AL24" s="45" t="s">
        <v>43</v>
      </c>
    </row>
    <row r="25" s="28" customFormat="1" ht="14.4" spans="1:38">
      <c r="A25" s="54"/>
      <c r="B25" s="52"/>
      <c r="C25" s="49"/>
      <c r="D25" s="44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6"/>
      <c r="AK25" s="44"/>
      <c r="AL25" s="44"/>
    </row>
    <row r="26" s="28" customFormat="1" ht="14.4" spans="1:38">
      <c r="A26" s="57">
        <v>12</v>
      </c>
      <c r="B26" s="51"/>
      <c r="C26" s="44"/>
      <c r="D26" s="45"/>
      <c r="E26" s="58"/>
      <c r="F26" s="46"/>
      <c r="G26" s="58"/>
      <c r="H26" s="58"/>
      <c r="I26" s="58"/>
      <c r="J26" s="58"/>
      <c r="K26" s="58"/>
      <c r="L26" s="58"/>
      <c r="M26" s="58"/>
      <c r="N26" s="58"/>
      <c r="O26" s="46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46"/>
      <c r="AD26" s="46"/>
      <c r="AE26" s="58"/>
      <c r="AF26" s="58"/>
      <c r="AG26" s="58"/>
      <c r="AH26" s="58"/>
      <c r="AI26" s="58"/>
      <c r="AJ26" s="47"/>
      <c r="AK26" s="45"/>
      <c r="AL26" s="59"/>
    </row>
    <row r="27" s="28" customFormat="1" ht="14.4" spans="1:38">
      <c r="A27" s="57"/>
      <c r="B27" s="52"/>
      <c r="C27" s="49"/>
      <c r="D27" s="44"/>
      <c r="E27" s="60"/>
      <c r="F27" s="55"/>
      <c r="G27" s="58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46"/>
      <c r="T27" s="46"/>
      <c r="U27" s="46"/>
      <c r="V27" s="55"/>
      <c r="W27" s="55"/>
      <c r="X27" s="55"/>
      <c r="Y27" s="46"/>
      <c r="Z27" s="46"/>
      <c r="AA27" s="46"/>
      <c r="AB27" s="46"/>
      <c r="AC27" s="61"/>
      <c r="AD27" s="61"/>
      <c r="AE27" s="55"/>
      <c r="AF27" s="55"/>
      <c r="AG27" s="55"/>
      <c r="AH27" s="55"/>
      <c r="AI27" s="60"/>
      <c r="AJ27" s="56"/>
      <c r="AK27" s="44"/>
      <c r="AL27" s="62"/>
    </row>
    <row r="28" s="28" customFormat="1" ht="14.4" spans="1:38">
      <c r="A28" s="57">
        <v>13</v>
      </c>
      <c r="B28" s="43"/>
      <c r="C28" s="44"/>
      <c r="D28" s="45"/>
      <c r="E28" s="58"/>
      <c r="F28" s="46"/>
      <c r="G28" s="58"/>
      <c r="H28" s="58"/>
      <c r="I28" s="58"/>
      <c r="J28" s="58"/>
      <c r="K28" s="58"/>
      <c r="L28" s="58"/>
      <c r="M28" s="58"/>
      <c r="N28" s="58"/>
      <c r="O28" s="46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46"/>
      <c r="AD28" s="46"/>
      <c r="AE28" s="58"/>
      <c r="AF28" s="58"/>
      <c r="AG28" s="58"/>
      <c r="AH28" s="58"/>
      <c r="AI28" s="58"/>
      <c r="AJ28" s="47"/>
      <c r="AK28" s="45"/>
      <c r="AL28" s="59"/>
    </row>
    <row r="29" s="28" customFormat="1" ht="14.4" spans="1:38">
      <c r="A29" s="63"/>
      <c r="B29" s="48"/>
      <c r="C29" s="49"/>
      <c r="D29" s="44"/>
      <c r="E29" s="64"/>
      <c r="F29" s="55"/>
      <c r="G29" s="6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46"/>
      <c r="T29" s="55"/>
      <c r="U29" s="55"/>
      <c r="V29" s="66"/>
      <c r="W29" s="55"/>
      <c r="X29" s="55"/>
      <c r="Y29" s="55"/>
      <c r="Z29" s="55"/>
      <c r="AA29" s="55"/>
      <c r="AB29" s="55"/>
      <c r="AC29" s="67"/>
      <c r="AD29" s="67"/>
      <c r="AE29" s="55"/>
      <c r="AF29" s="55"/>
      <c r="AG29" s="55"/>
      <c r="AH29" s="55"/>
      <c r="AI29" s="65"/>
      <c r="AJ29" s="56"/>
      <c r="AK29" s="44"/>
      <c r="AL29" s="68"/>
    </row>
    <row r="30" s="28" customFormat="1" ht="14.4" spans="1:38">
      <c r="A30" s="69" t="s">
        <v>46</v>
      </c>
      <c r="B30" s="70"/>
      <c r="C30" s="70"/>
      <c r="D30" s="70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2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2"/>
      <c r="AD30" s="72"/>
      <c r="AE30" s="71"/>
      <c r="AF30" s="71"/>
      <c r="AG30" s="71"/>
      <c r="AH30" s="71"/>
      <c r="AI30" s="71"/>
      <c r="AJ30" s="72"/>
      <c r="AK30" s="70"/>
      <c r="AL30" s="73"/>
    </row>
    <row r="31" s="28" customFormat="1" ht="14.4" spans="1:38">
      <c r="A31" s="74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6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6"/>
      <c r="AD31" s="76"/>
      <c r="AE31" s="75"/>
      <c r="AF31" s="75"/>
      <c r="AG31" s="75"/>
      <c r="AH31" s="75"/>
      <c r="AI31" s="75"/>
      <c r="AJ31" s="76"/>
      <c r="AL31" s="77"/>
    </row>
    <row r="32" s="28" customFormat="1" ht="14.4" spans="1:38">
      <c r="A32" s="74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6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6"/>
      <c r="AD32" s="76"/>
      <c r="AE32" s="75"/>
      <c r="AF32" s="75"/>
      <c r="AG32" s="75"/>
      <c r="AH32" s="75"/>
      <c r="AI32" s="75"/>
      <c r="AJ32" s="76"/>
      <c r="AL32" s="77"/>
    </row>
    <row r="33" s="28" customFormat="1" ht="14.4" spans="1:38">
      <c r="A33" s="74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6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6"/>
      <c r="AD33" s="76"/>
      <c r="AE33" s="75"/>
      <c r="AF33" s="75"/>
      <c r="AG33" s="75"/>
      <c r="AH33" s="75"/>
      <c r="AI33" s="75"/>
      <c r="AJ33" s="76"/>
      <c r="AL33" s="77"/>
    </row>
    <row r="34" s="28" customFormat="1" ht="14.4" spans="1:38">
      <c r="A34" s="74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6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6"/>
      <c r="AD34" s="76"/>
      <c r="AE34" s="75"/>
      <c r="AF34" s="75"/>
      <c r="AG34" s="75"/>
      <c r="AH34" s="75"/>
      <c r="AI34" s="75"/>
      <c r="AJ34" s="76"/>
      <c r="AL34" s="77"/>
    </row>
    <row r="35" s="28" customFormat="1" ht="14.4" spans="1:38">
      <c r="A35" s="78"/>
      <c r="B35" s="79"/>
      <c r="C35" s="79"/>
      <c r="D35" s="79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1"/>
      <c r="AD35" s="81"/>
      <c r="AE35" s="80"/>
      <c r="AF35" s="80"/>
      <c r="AG35" s="80"/>
      <c r="AH35" s="80"/>
      <c r="AI35" s="80"/>
      <c r="AJ35" s="81"/>
      <c r="AK35" s="79"/>
      <c r="AL35" s="82"/>
    </row>
    <row r="36" s="28" customFormat="1" ht="14.4" spans="1:38">
      <c r="A36" s="69" t="s">
        <v>47</v>
      </c>
      <c r="B36" s="70"/>
      <c r="C36" s="70"/>
      <c r="D36" s="70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2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2"/>
      <c r="AD36" s="72"/>
      <c r="AE36" s="71"/>
      <c r="AF36" s="71"/>
      <c r="AG36" s="71"/>
      <c r="AH36" s="71"/>
      <c r="AI36" s="71"/>
      <c r="AJ36" s="72"/>
      <c r="AK36" s="70"/>
      <c r="AL36" s="73"/>
    </row>
    <row r="37" s="28" customFormat="1" ht="14.4" spans="1:38">
      <c r="A37" s="74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6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6"/>
      <c r="AD37" s="76"/>
      <c r="AE37" s="75"/>
      <c r="AF37" s="75"/>
      <c r="AG37" s="75"/>
      <c r="AH37" s="75"/>
      <c r="AI37" s="75"/>
      <c r="AJ37" s="76"/>
      <c r="AL37" s="77"/>
    </row>
    <row r="38" s="28" customFormat="1" ht="14.4" spans="1:38">
      <c r="A38" s="78"/>
      <c r="B38" s="79"/>
      <c r="C38" s="79"/>
      <c r="D38" s="79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1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1"/>
      <c r="AD38" s="81"/>
      <c r="AE38" s="80"/>
      <c r="AF38" s="80"/>
      <c r="AG38" s="80"/>
      <c r="AH38" s="80"/>
      <c r="AI38" s="80"/>
      <c r="AJ38" s="81"/>
      <c r="AK38" s="79"/>
      <c r="AL38" s="82"/>
    </row>
  </sheetData>
  <mergeCells count="63">
    <mergeCell ref="A1:AL1"/>
    <mergeCell ref="E2:AI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B2:B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D2:D3"/>
    <mergeCell ref="AJ2:AJ3"/>
    <mergeCell ref="AK2:AK3"/>
    <mergeCell ref="AK4:AK5"/>
    <mergeCell ref="AK6:AK7"/>
    <mergeCell ref="AK8:AK9"/>
    <mergeCell ref="AK10:AK11"/>
    <mergeCell ref="AK12:AK13"/>
    <mergeCell ref="AK14:AK15"/>
    <mergeCell ref="AK16:AK17"/>
    <mergeCell ref="AK18:AK19"/>
    <mergeCell ref="AK20:AK21"/>
    <mergeCell ref="AK22:AK23"/>
    <mergeCell ref="AK24:AK25"/>
    <mergeCell ref="AK26:AK27"/>
    <mergeCell ref="AK28:AK29"/>
    <mergeCell ref="AL2:AL3"/>
    <mergeCell ref="AL4:AL5"/>
    <mergeCell ref="AL6:AL7"/>
    <mergeCell ref="AL8:AL9"/>
    <mergeCell ref="AL10:AL11"/>
    <mergeCell ref="AL12:AL13"/>
    <mergeCell ref="AL14:AL15"/>
    <mergeCell ref="AL16:AL17"/>
    <mergeCell ref="AL18:AL19"/>
    <mergeCell ref="AL20:AL21"/>
    <mergeCell ref="AL22:AL23"/>
    <mergeCell ref="AL24:AL25"/>
    <mergeCell ref="AL26:AL27"/>
    <mergeCell ref="AL28:AL29"/>
    <mergeCell ref="A30:AL35"/>
    <mergeCell ref="A36:AL38"/>
  </mergeCells>
  <printOptions horizontalCentered="1"/>
  <pageMargins left="0.161111111111111" right="0.161111111111111" top="0.802777777777778" bottom="0.802777777777778" header="0.511805555555556" footer="0.511805555555556"/>
  <pageSetup paperSize="9" scale="83" orientation="landscape" blackAndWhite="1" horizontalDpi="600"/>
  <headerFooter alignWithMargins="0" scaleWithDoc="0"/>
  <rowBreaks count="1" manualBreakCount="1">
    <brk id="38" max="2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E7"/>
  <sheetViews>
    <sheetView tabSelected="1" view="pageBreakPreview" zoomScaleNormal="100" workbookViewId="0">
      <pane xSplit="3" ySplit="3" topLeftCell="D4" activePane="bottomRight" state="frozen"/>
      <selection/>
      <selection pane="topRight"/>
      <selection pane="bottomLeft"/>
      <selection pane="bottomRight" activeCell="B4" sqref="B4"/>
    </sheetView>
  </sheetViews>
  <sheetFormatPr defaultColWidth="8.19166666666667" defaultRowHeight="14.4" outlineLevelRow="6"/>
  <cols>
    <col min="1" max="1" width="4.06666666666667" style="1" customWidth="1"/>
    <col min="2" max="2" width="6.6" style="1" customWidth="1"/>
    <col min="3" max="3" width="6.5" style="1" customWidth="1"/>
    <col min="4" max="4" width="15.7" style="1" customWidth="1"/>
    <col min="5" max="5" width="11.0666666666667" style="1" customWidth="1"/>
    <col min="6" max="6" width="15.75" style="1" customWidth="1"/>
    <col min="7" max="7" width="19.0666666666667" style="1" customWidth="1"/>
    <col min="8" max="8" width="10.1916666666667" style="1" customWidth="1"/>
    <col min="9" max="9" width="8.7" style="3" customWidth="1"/>
    <col min="10" max="10" width="4.7" style="1" customWidth="1"/>
    <col min="11" max="11" width="7.875" style="1" customWidth="1"/>
    <col min="12" max="12" width="8.7" style="1" customWidth="1"/>
    <col min="13" max="13" width="10.0666666666667" style="1" customWidth="1"/>
    <col min="14" max="14" width="6" style="1" customWidth="1"/>
    <col min="15" max="15" width="8.19166666666667" style="4"/>
    <col min="16" max="16384" width="8.19166666666667" style="1"/>
  </cols>
  <sheetData>
    <row r="1" ht="36" customHeight="1" spans="1:31">
      <c r="A1" s="5" t="s">
        <v>48</v>
      </c>
      <c r="B1" s="6"/>
      <c r="C1" s="5"/>
      <c r="D1" s="5"/>
      <c r="E1" s="5"/>
      <c r="F1" s="5"/>
      <c r="G1" s="5"/>
      <c r="H1" s="5"/>
      <c r="I1" s="7"/>
      <c r="J1" s="5"/>
      <c r="K1" s="5"/>
      <c r="L1" s="5"/>
      <c r="M1" s="5"/>
      <c r="N1" s="5"/>
    </row>
    <row r="2" s="1" customFormat="1" ht="30" customHeight="1" spans="1:31">
      <c r="A2" s="8" t="s">
        <v>49</v>
      </c>
      <c r="B2" s="8"/>
      <c r="C2" s="8"/>
      <c r="D2" s="8"/>
      <c r="E2" s="8"/>
      <c r="F2" s="8"/>
      <c r="G2" s="9" t="s">
        <v>50</v>
      </c>
      <c r="H2" s="9"/>
      <c r="I2" s="10"/>
      <c r="J2" s="11" t="s">
        <v>51</v>
      </c>
      <c r="K2" s="11"/>
      <c r="L2" s="12">
        <v>46173</v>
      </c>
      <c r="M2" s="11"/>
      <c r="N2" s="11"/>
      <c r="O2" s="4"/>
    </row>
    <row r="3" ht="30" customHeight="1" spans="1:31">
      <c r="A3" s="13" t="s">
        <v>1</v>
      </c>
      <c r="B3" s="13" t="s">
        <v>52</v>
      </c>
      <c r="C3" s="13" t="s">
        <v>53</v>
      </c>
      <c r="D3" s="13" t="s">
        <v>54</v>
      </c>
      <c r="E3" s="13" t="s">
        <v>55</v>
      </c>
      <c r="F3" s="13" t="s">
        <v>56</v>
      </c>
      <c r="G3" s="14" t="s">
        <v>57</v>
      </c>
      <c r="H3" s="14" t="s">
        <v>58</v>
      </c>
      <c r="I3" s="15" t="s">
        <v>59</v>
      </c>
      <c r="J3" s="14" t="s">
        <v>60</v>
      </c>
      <c r="K3" s="14" t="s">
        <v>61</v>
      </c>
      <c r="L3" s="14" t="s">
        <v>62</v>
      </c>
      <c r="M3" s="14" t="s">
        <v>63</v>
      </c>
      <c r="N3" s="14" t="s">
        <v>45</v>
      </c>
    </row>
    <row r="4" ht="20" customHeight="1" spans="1:31">
      <c r="A4" s="16">
        <v>1</v>
      </c>
      <c r="B4" s="13" t="s">
        <v>41</v>
      </c>
      <c r="C4" s="13" t="s">
        <v>40</v>
      </c>
      <c r="D4" s="84" t="s">
        <v>44</v>
      </c>
      <c r="E4" s="84" t="s">
        <v>64</v>
      </c>
      <c r="F4" s="17" t="s">
        <v>65</v>
      </c>
      <c r="G4" s="84" t="s">
        <v>66</v>
      </c>
      <c r="H4" s="84" t="s">
        <v>67</v>
      </c>
      <c r="I4" s="18">
        <v>20.33</v>
      </c>
      <c r="J4" s="16"/>
      <c r="K4" s="16">
        <v>380</v>
      </c>
      <c r="L4" s="16">
        <v>7725</v>
      </c>
      <c r="M4" s="19"/>
      <c r="N4" s="19"/>
      <c r="O4" s="20"/>
    </row>
    <row r="5" ht="20" customHeight="1" spans="1:31">
      <c r="A5" s="13" t="s">
        <v>68</v>
      </c>
      <c r="B5" s="21"/>
      <c r="C5" s="21"/>
      <c r="D5" s="21"/>
      <c r="E5" s="21"/>
      <c r="F5" s="21"/>
      <c r="G5" s="21"/>
      <c r="H5" s="21"/>
      <c r="I5" s="22">
        <f>SUM(I4:I4)</f>
        <v>20.33</v>
      </c>
      <c r="J5" s="21"/>
      <c r="K5" s="21"/>
      <c r="L5" s="23">
        <f>SUM(L4)</f>
        <v>7725</v>
      </c>
      <c r="M5" s="21"/>
      <c r="N5" s="21"/>
      <c r="O5" s="20"/>
    </row>
    <row r="6" s="2" customFormat="1" ht="22.2" spans="1:31">
      <c r="A6" s="24" t="s">
        <v>69</v>
      </c>
      <c r="B6" s="24"/>
      <c r="C6" s="24"/>
      <c r="D6" s="24"/>
      <c r="E6" s="24" t="s">
        <v>70</v>
      </c>
      <c r="F6" s="24"/>
      <c r="G6" s="24"/>
      <c r="H6" s="25" t="s">
        <v>71</v>
      </c>
      <c r="I6" s="26"/>
      <c r="J6" s="24"/>
      <c r="K6" s="24"/>
      <c r="L6" s="24" t="s">
        <v>72</v>
      </c>
      <c r="M6" s="24"/>
      <c r="N6" s="27"/>
      <c r="O6" s="20"/>
      <c r="P6" s="1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 s="1" customFormat="1" spans="1:31">
      <c r="I7" s="3"/>
      <c r="O7" s="4"/>
    </row>
  </sheetData>
  <mergeCells count="3">
    <mergeCell ref="A1:N1"/>
    <mergeCell ref="A2:F2"/>
    <mergeCell ref="L2:N2"/>
  </mergeCells>
  <printOptions horizontalCentered="1"/>
  <pageMargins left="0.161111111111111" right="0.161111111111111" top="0.802777777777778" bottom="0.409027777777778" header="0.511805555555556" footer="0.511805555555556"/>
  <pageSetup paperSize="9" orientation="landscape" blackAndWhite="1" horizont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考勤表</vt:lpstr>
      <vt:lpstr>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坚持 ゛</cp:lastModifiedBy>
  <dcterms:created xsi:type="dcterms:W3CDTF">2020-08-13T10:55:00Z</dcterms:created>
  <cp:lastPrinted>2024-10-02T09:09:00Z</cp:lastPrinted>
  <dcterms:modified xsi:type="dcterms:W3CDTF">2026-07-02T14:02:48Z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170ACB3138014FF89C759649F6B6C226_13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